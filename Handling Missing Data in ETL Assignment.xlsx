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lace.bms.com/personal/hrushikesh_sanap_bms_com/Documents/Desktop/"/>
    </mc:Choice>
  </mc:AlternateContent>
  <xr:revisionPtr revIDLastSave="234" documentId="8_{337B85CA-9FB7-41B3-8E3D-6D12D5A1BFA6}" xr6:coauthVersionLast="47" xr6:coauthVersionMax="47" xr10:uidLastSave="{F851851B-EA23-4510-84CF-4983C75EF3B1}"/>
  <bookViews>
    <workbookView xWindow="-110" yWindow="-110" windowWidth="19420" windowHeight="11500" xr2:uid="{1FBA1702-D210-405D-B19C-D44E6EE2A71C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0" l="1"/>
  <c r="P20" i="10"/>
  <c r="P21" i="10"/>
  <c r="P22" i="10"/>
  <c r="P23" i="10"/>
  <c r="P24" i="10"/>
  <c r="P25" i="10"/>
  <c r="P18" i="10"/>
</calcChain>
</file>

<file path=xl/sharedStrings.xml><?xml version="1.0" encoding="utf-8"?>
<sst xmlns="http://schemas.openxmlformats.org/spreadsheetml/2006/main" count="431" uniqueCount="131">
  <si>
    <t>Q1. What are the most common reasons for missing data in ETL pipelines?</t>
  </si>
  <si>
    <t>Answer:-</t>
  </si>
  <si>
    <t>Common Causes of Missing Data in ETL Pipelines are as follows:-</t>
  </si>
  <si>
    <t>1.User &amp; Human Errors:-Forms not filled properly,Optional fields left blank,Typos or wrong file uploads</t>
  </si>
  <si>
    <t>2.System/Software Issues:-Failed API calls,Faulty sensors,Application crashes or timeouts</t>
  </si>
  <si>
    <t>3.Data Integration Problems:-Format or encoding mismatches,Schema changes (renamed/missing columns),Incorrect joins (e.g., inner vs left join)</t>
  </si>
  <si>
    <t>4.Load Failures:-Primary/foreign key violations,NOT NULL constraints,Partial batch failures</t>
  </si>
  <si>
    <t>Q2. Why is blindly deleting rows with missing values considered a bad practice in ETL</t>
  </si>
  <si>
    <t>Blindly removing rows with missing values can cause serious issues: It can llead to:-</t>
  </si>
  <si>
    <t>1.Data Loss:-You may remove valuable records where only one field is missing.Reduces dataset size unnecessarily.</t>
  </si>
  <si>
    <t>2.Biased Results:-If missing data is not random (e.g., specific user groups skip fields), deleting rows can distort analysis and reporting.</t>
  </si>
  <si>
    <t>3.Loss of Business-Critical Information:-Some missing values are meaningful (e.g., NULL = “not applicable” or “not yet updated”).</t>
  </si>
  <si>
    <t>4.Breaks Data Integrity:-Deleting rows can create inconsistencies in related tables (foreign key relationships).</t>
  </si>
  <si>
    <t>5.Hides Root Causes:-Missing data may indicate upstream issues (API failures, schema drift, validation errors).Deleting rows masks the real problem instead of fixing it.</t>
  </si>
  <si>
    <t>6.Impacts KPIs &amp; Reporting:-Metrics like revenue, conversion rate, or customer counts may become inaccurate.</t>
  </si>
  <si>
    <t>Q3. Explain the difference between: Listwise deletion and Column deletion</t>
  </si>
  <si>
    <t>Listwise Deletion (Row-Level Removal):-</t>
  </si>
  <si>
    <t>Can significantly reduce the number of records.</t>
  </si>
  <si>
    <t>Risk of introducing bias if missing data is not random.</t>
  </si>
  <si>
    <t>Removes the entire row when any selected value is missing</t>
  </si>
  <si>
    <t>Should be used only when the percentage of missing data is very small (typically &lt; 5%).</t>
  </si>
  <si>
    <r>
      <t xml:space="preserve">Example: Remove rows where </t>
    </r>
    <r>
      <rPr>
        <i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 is blank.</t>
    </r>
  </si>
  <si>
    <t>Column Deletion:-</t>
  </si>
  <si>
    <t>Keeps all rows intact but reduces the number of features.</t>
  </si>
  <si>
    <t>Risk of losing potentially useful information.</t>
  </si>
  <si>
    <r>
      <t>Listwise deletion</t>
    </r>
    <r>
      <rPr>
        <sz val="11"/>
        <color theme="1"/>
        <rFont val="Aptos Narrow"/>
        <family val="2"/>
        <scheme val="minor"/>
      </rPr>
      <t xml:space="preserve"> reduces the dataset vertically (rows removed).</t>
    </r>
  </si>
  <si>
    <r>
      <t>Column deletion</t>
    </r>
    <r>
      <rPr>
        <sz val="11"/>
        <color theme="1"/>
        <rFont val="Aptos Narrow"/>
        <family val="2"/>
        <scheme val="minor"/>
      </rPr>
      <t xml:space="preserve"> reduces the dataset horizontally (columns removed).</t>
    </r>
  </si>
  <si>
    <t>Key Difference:-</t>
  </si>
  <si>
    <t>Removes an entire column when a large portion of its values are missing (&gt; 60–70%).</t>
  </si>
  <si>
    <t>Typically used for non-critical or low-importance attributes.</t>
  </si>
  <si>
    <r>
      <t xml:space="preserve">In a sales dataset of 50,000 records, if only 1–2% of rows have missing </t>
    </r>
    <r>
      <rPr>
        <i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 and region is mandatory for reporting, removing those few rows will not significantly impact analysis.</t>
    </r>
  </si>
  <si>
    <t>In a customer analytics project, if 75% of values in a “Secondary Phone Number” column are missing and it’s not used in reporting or modeling, deleting the column is reasonable.</t>
  </si>
  <si>
    <r>
      <t>Example:</t>
    </r>
    <r>
      <rPr>
        <sz val="11"/>
        <color theme="1"/>
        <rFont val="Aptos Narrow"/>
        <family val="2"/>
        <scheme val="minor"/>
      </rPr>
      <t xml:space="preserve"> A “Middle Name” column where most entries are missing.</t>
    </r>
  </si>
  <si>
    <t>Q4. Why is median imputation preferred over mean imputation for skewed data such as income?</t>
  </si>
  <si>
    <t>Therefore, median imputation preserves the distribution shape better and avoids introducing bias caused by extreme values.</t>
  </si>
  <si>
    <t>Income distributions are typically right-skewed (a small number of very high incomes).</t>
  </si>
  <si>
    <t>The mean are Sensitive to outliers and gets inflated by high earners.</t>
  </si>
  <si>
    <t>The median  won't get affected by extreme values (outliers) and reflects the typical income more accurately.</t>
  </si>
  <si>
    <t>Q5. What is forward fill and in what type of dataset is it most useful?</t>
  </si>
  <si>
    <t>Forward Fill is a missing data handling technique that copies the last known non-null value forward to replace subsequent missing values.</t>
  </si>
  <si>
    <t>Example:-Sales data,Temperature readings,Stock prices</t>
  </si>
  <si>
    <t>Forward fill is most useful in time-series or sequential datasets, especially those with:Continuous timelines,Regular time intervals,Observations where values change gradually.</t>
  </si>
  <si>
    <t>Q6. Why should flagging missing values be done before imputation in an ETL workflow?</t>
  </si>
  <si>
    <t>Flagging means adding a new column to indicate whether a value was originally missing.</t>
  </si>
  <si>
    <t>Example: If Income is missing → create income_missing = 1, else 0.</t>
  </si>
  <si>
    <t>Its is done before imputation because:-</t>
  </si>
  <si>
    <t>Missingness Can Carry Meaning:-Sometimes, missing values are informative (e.g., a missing income might indicate non-disclosure).</t>
  </si>
  <si>
    <t>Improves Predictive Models:-Machine learning models can use the flag as a feature to better predict outcomes.</t>
  </si>
  <si>
    <t>Maintains Transparency:-Keeps track of which values were imputed versus original, aiding audits and data quality checks.</t>
  </si>
  <si>
    <t>Flagging missing values before imputation preserves information, supports model accuracy, and ensures ETL transparency.</t>
  </si>
  <si>
    <t>Example:</t>
  </si>
  <si>
    <t>Income</t>
  </si>
  <si>
    <t>income_missing</t>
  </si>
  <si>
    <t>NULL</t>
  </si>
  <si>
    <t>Missing values are not always just “gaps”; sometimes they carry meaning. In the case of many customers missing income data:</t>
  </si>
  <si>
    <t>Q7. Consider a scenario where income is missing for many customers._x000B_ How can this missingness itself provide business insights?</t>
  </si>
  <si>
    <t>Example: Younger users or certain regions may be less likely to provide income, helping tailor marketing or survey strategies.</t>
  </si>
  <si>
    <t>1.Customer Behavior Insights:-Customers may choose not to disclose income if they perceive it as sensitive.This could indicate privacy-conscious segments or potential trust issues with the platform.</t>
  </si>
  <si>
    <t>2.Market Segmentation:-High missingness in certain demographics or regions may reveal patterns in reporting behavior.</t>
  </si>
  <si>
    <t>3.Product or Service Targeting:-Missing income may indicate untapped or cautious customer segments.Could guide risk-based product offerings (e.g., credit cards, loans, premium subscriptions).</t>
  </si>
  <si>
    <t>4.Data Quality &amp; Operational Insights:-If missing income is correlated with specific channels or collection methods, it can highlight process issues.</t>
  </si>
  <si>
    <t>Example: Mobile forms may have higher missingness than web forms - opportunity to improve form design.</t>
  </si>
  <si>
    <t>Q8. Listwise Deletion</t>
  </si>
  <si>
    <t>Remove all rows where Region is missing</t>
  </si>
  <si>
    <t>Tasks:</t>
  </si>
  <si>
    <t>Identify affected rows</t>
  </si>
  <si>
    <t>Show the dataset after deletion</t>
  </si>
  <si>
    <t>Mention how many records were lost</t>
  </si>
  <si>
    <t>Name</t>
  </si>
  <si>
    <t>City</t>
  </si>
  <si>
    <t>Monthly_Sales</t>
  </si>
  <si>
    <t>Region</t>
  </si>
  <si>
    <t>Rahul Mehta</t>
  </si>
  <si>
    <t>Mumbai</t>
  </si>
  <si>
    <t>West</t>
  </si>
  <si>
    <t>Anjali ROO</t>
  </si>
  <si>
    <t>Bengaluru</t>
  </si>
  <si>
    <t>NaN</t>
  </si>
  <si>
    <t>South</t>
  </si>
  <si>
    <t>Suresh lyer</t>
  </si>
  <si>
    <t>Chennai</t>
  </si>
  <si>
    <t>Neha Singh</t>
  </si>
  <si>
    <t>Delhi</t>
  </si>
  <si>
    <t>North</t>
  </si>
  <si>
    <t>Amit verma</t>
  </si>
  <si>
    <t>pune</t>
  </si>
  <si>
    <t>Karan Shah</t>
  </si>
  <si>
    <t>Ahmedabad</t>
  </si>
  <si>
    <t>Pooja Das</t>
  </si>
  <si>
    <t>Kolkata</t>
  </si>
  <si>
    <t>East</t>
  </si>
  <si>
    <t>Riya Kapoor</t>
  </si>
  <si>
    <t>Jaipur</t>
  </si>
  <si>
    <t>Customer_Id</t>
  </si>
  <si>
    <t>1.Identify Affected Rows:-Only Customer 105 has missing Region.</t>
  </si>
  <si>
    <t>2.Dataset After Deletion (Remove row 105)</t>
  </si>
  <si>
    <t>3.Number of Records Lost:-</t>
  </si>
  <si>
    <r>
      <t>Total records before deletion: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8</t>
    </r>
  </si>
  <si>
    <r>
      <t>Total records after deletion: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7</t>
    </r>
  </si>
  <si>
    <r>
      <t>Records lost: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 (Customer 105)</t>
    </r>
  </si>
  <si>
    <t>Q9. Imputation</t>
  </si>
  <si>
    <t>Handle missing values in Monthly_Sales using:</t>
  </si>
  <si>
    <t>Forward Fill</t>
  </si>
  <si>
    <t>Tasks:-</t>
  </si>
  <si>
    <t>1.Apply forward fill</t>
  </si>
  <si>
    <t>2.Show before vs after values</t>
  </si>
  <si>
    <t>3.Explain why forward fill is suitable here</t>
  </si>
  <si>
    <r>
      <t xml:space="preserve">Forward Fill replaces missing </t>
    </r>
    <r>
      <rPr>
        <sz val="10"/>
        <color theme="1"/>
        <rFont val="Arial Unicode MS"/>
      </rPr>
      <t>Monthly_Sales</t>
    </r>
    <r>
      <rPr>
        <sz val="11"/>
        <color theme="1"/>
        <rFont val="Aptos Narrow"/>
        <family val="2"/>
        <scheme val="minor"/>
      </rPr>
      <t xml:space="preserve"> values with the most recent non-null value above:</t>
    </r>
  </si>
  <si>
    <t>Task 1: Apply Forward Fill</t>
  </si>
  <si>
    <t>Task 2.Show Before vs After Side-by-Side:-</t>
  </si>
  <si>
    <t>Before Monthly_Sales</t>
  </si>
  <si>
    <t>After Monthly_Sales</t>
  </si>
  <si>
    <t>Task 3:-Why Forward Fill Is Suitable Here</t>
  </si>
  <si>
    <t>The dataset represents continuous time-series data (e.g., monthly sales for customers).</t>
  </si>
  <si>
    <t>Missing sales values likely mean sales were not recorded but assumed to be similar to the previous known month.</t>
  </si>
  <si>
    <t>Forward fill maintains temporal continuity and avoids introducing unrealistic jumps.</t>
  </si>
  <si>
    <t>It’s simple and efficient for filling gaps in sequential data like sales, stock prices, or sensor readings.</t>
  </si>
  <si>
    <t>Q10. Flagging Missing Data</t>
  </si>
  <si>
    <t>Create a flag column for missing Income.</t>
  </si>
  <si>
    <t>1.Create Income_Missing_Flag (0 = present, 1 = missing)</t>
  </si>
  <si>
    <t>2.Show updated dataset</t>
  </si>
  <si>
    <t>3.Count how many customers have missing income</t>
  </si>
  <si>
    <t>Task 1:-Create Income_Missing_Flag</t>
  </si>
  <si>
    <r>
      <t xml:space="preserve">Flag =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if Income is missing (</t>
    </r>
    <r>
      <rPr>
        <sz val="10"/>
        <color theme="1"/>
        <rFont val="Arial Unicode MS"/>
      </rPr>
      <t>NaN</t>
    </r>
    <r>
      <rPr>
        <sz val="11"/>
        <color theme="1"/>
        <rFont val="Aptos Narrow"/>
        <family val="2"/>
        <scheme val="minor"/>
      </rPr>
      <t>)</t>
    </r>
  </si>
  <si>
    <r>
      <t xml:space="preserve">Flag =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if Income is present</t>
    </r>
  </si>
  <si>
    <t>Task 2:-Updated Dataset with Income_Missing_Flag</t>
  </si>
  <si>
    <t>Income Missing Flag</t>
  </si>
  <si>
    <t>With excel formula:-</t>
  </si>
  <si>
    <t>Manually:-</t>
  </si>
  <si>
    <t>Task 3:-</t>
  </si>
  <si>
    <r>
      <t>Customers with missing income:</t>
    </r>
    <r>
      <rPr>
        <sz val="11"/>
        <color theme="1"/>
        <rFont val="Aptos Narrow"/>
        <family val="2"/>
        <scheme val="minor"/>
      </rPr>
      <t xml:space="preserve"> 3 (Customer IDs 102, 104, 107)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</si>
</sst>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B415-A945-4305-9761-D05E71DCC649}">
  <dimension ref="A1:A7"/>
  <sheetViews>
    <sheetView tabSelected="1" workbookViewId="0">
      <selection activeCell="G17" sqref="G17"/>
    </sheetView>
  </sheetViews>
  <sheetFormatPr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A44D-94F6-4262-AB19-02CD4EEC6FDC}">
  <dimension ref="A1:A9"/>
  <sheetViews>
    <sheetView workbookViewId="0">
      <selection activeCell="D12" sqref="D12"/>
    </sheetView>
  </sheetViews>
  <sheetFormatPr defaultRowHeight="14.5"/>
  <sheetData>
    <row r="1" spans="1:1">
      <c r="A1" t="s">
        <v>7</v>
      </c>
    </row>
    <row r="2" spans="1:1">
      <c r="A2" t="s">
        <v>1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C33C-FAA9-4413-8CD5-BCEADBFCDD7C}">
  <dimension ref="A1:A22"/>
  <sheetViews>
    <sheetView workbookViewId="0">
      <selection activeCell="G14" sqref="G14"/>
    </sheetView>
  </sheetViews>
  <sheetFormatPr defaultRowHeight="14.5"/>
  <cols>
    <col min="1" max="16384" width="8.7265625" style="2"/>
  </cols>
  <sheetData>
    <row r="1" spans="1:1">
      <c r="A1" s="2" t="s">
        <v>15</v>
      </c>
    </row>
    <row r="2" spans="1:1">
      <c r="A2" s="2" t="s">
        <v>1</v>
      </c>
    </row>
    <row r="3" spans="1:1">
      <c r="A3" s="1" t="s">
        <v>16</v>
      </c>
    </row>
    <row r="4" spans="1:1">
      <c r="A4" s="2" t="s">
        <v>19</v>
      </c>
    </row>
    <row r="5" spans="1:1">
      <c r="A5" s="2" t="s">
        <v>20</v>
      </c>
    </row>
    <row r="6" spans="1:1">
      <c r="A6" s="2" t="s">
        <v>17</v>
      </c>
    </row>
    <row r="7" spans="1:1">
      <c r="A7" s="2" t="s">
        <v>18</v>
      </c>
    </row>
    <row r="8" spans="1:1">
      <c r="A8" s="2" t="s">
        <v>21</v>
      </c>
    </row>
    <row r="9" spans="1:1">
      <c r="A9" t="s">
        <v>30</v>
      </c>
    </row>
    <row r="10" spans="1:1">
      <c r="A10"/>
    </row>
    <row r="11" spans="1:1">
      <c r="A11" s="1" t="s">
        <v>22</v>
      </c>
    </row>
    <row r="12" spans="1:1">
      <c r="A12" s="2" t="s">
        <v>28</v>
      </c>
    </row>
    <row r="13" spans="1:1">
      <c r="A13" s="2" t="s">
        <v>29</v>
      </c>
    </row>
    <row r="14" spans="1:1">
      <c r="A14" s="2" t="s">
        <v>23</v>
      </c>
    </row>
    <row r="15" spans="1:1">
      <c r="A15" s="2" t="s">
        <v>24</v>
      </c>
    </row>
    <row r="16" spans="1:1">
      <c r="A16" s="2" t="s">
        <v>32</v>
      </c>
    </row>
    <row r="17" spans="1:1">
      <c r="A17" t="s">
        <v>31</v>
      </c>
    </row>
    <row r="18" spans="1:1">
      <c r="A18" s="1"/>
    </row>
    <row r="19" spans="1:1">
      <c r="A19" s="4" t="s">
        <v>27</v>
      </c>
    </row>
    <row r="20" spans="1:1">
      <c r="A20" s="3" t="s">
        <v>25</v>
      </c>
    </row>
    <row r="21" spans="1:1">
      <c r="A21" s="3" t="s">
        <v>26</v>
      </c>
    </row>
    <row r="22" spans="1:1">
      <c r="A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A214-F6CF-44E0-9ACC-25427B7AD94D}">
  <dimension ref="A1:A6"/>
  <sheetViews>
    <sheetView workbookViewId="0">
      <selection activeCell="A7" sqref="A7"/>
    </sheetView>
  </sheetViews>
  <sheetFormatPr defaultRowHeight="14.5"/>
  <sheetData>
    <row r="1" spans="1:1">
      <c r="A1" t="s">
        <v>33</v>
      </c>
    </row>
    <row r="2" spans="1:1">
      <c r="A2" t="s">
        <v>1</v>
      </c>
    </row>
    <row r="3" spans="1:1">
      <c r="A3" s="2" t="s">
        <v>35</v>
      </c>
    </row>
    <row r="4" spans="1:1">
      <c r="A4" s="2" t="s">
        <v>36</v>
      </c>
    </row>
    <row r="5" spans="1:1">
      <c r="A5" s="2" t="s">
        <v>37</v>
      </c>
    </row>
    <row r="6" spans="1:1">
      <c r="A6" s="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6D97-14FC-4CCB-9590-1EC459F8BC61}">
  <dimension ref="A1:A5"/>
  <sheetViews>
    <sheetView workbookViewId="0">
      <selection activeCell="F13" sqref="F13"/>
    </sheetView>
  </sheetViews>
  <sheetFormatPr defaultRowHeight="14.5"/>
  <sheetData>
    <row r="1" spans="1:1">
      <c r="A1" t="s">
        <v>38</v>
      </c>
    </row>
    <row r="2" spans="1:1">
      <c r="A2" t="s">
        <v>1</v>
      </c>
    </row>
    <row r="3" spans="1:1">
      <c r="A3" s="2" t="s">
        <v>39</v>
      </c>
    </row>
    <row r="4" spans="1:1">
      <c r="A4" s="2" t="s">
        <v>41</v>
      </c>
    </row>
    <row r="5" spans="1:1">
      <c r="A5" s="2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F0A1-DB69-4128-9543-B1963062C194}">
  <dimension ref="A1:B14"/>
  <sheetViews>
    <sheetView workbookViewId="0">
      <selection activeCell="D14" sqref="D14"/>
    </sheetView>
  </sheetViews>
  <sheetFormatPr defaultRowHeight="14.5"/>
  <sheetData>
    <row r="1" spans="1:2">
      <c r="A1" t="s">
        <v>42</v>
      </c>
    </row>
    <row r="2" spans="1:2">
      <c r="A2" t="s">
        <v>1</v>
      </c>
    </row>
    <row r="3" spans="1:2">
      <c r="A3" s="2" t="s">
        <v>43</v>
      </c>
    </row>
    <row r="4" spans="1:2">
      <c r="A4" t="s">
        <v>44</v>
      </c>
    </row>
    <row r="5" spans="1:2">
      <c r="A5" t="s">
        <v>45</v>
      </c>
    </row>
    <row r="6" spans="1:2">
      <c r="A6" t="s">
        <v>46</v>
      </c>
    </row>
    <row r="7" spans="1:2">
      <c r="A7" t="s">
        <v>47</v>
      </c>
    </row>
    <row r="8" spans="1:2">
      <c r="A8" t="s">
        <v>48</v>
      </c>
    </row>
    <row r="10" spans="1:2">
      <c r="A10" s="2" t="s">
        <v>49</v>
      </c>
    </row>
    <row r="11" spans="1:2">
      <c r="A11" s="1" t="s">
        <v>50</v>
      </c>
    </row>
    <row r="12" spans="1:2" s="7" customFormat="1">
      <c r="A12" s="6" t="s">
        <v>51</v>
      </c>
      <c r="B12" s="8" t="s">
        <v>52</v>
      </c>
    </row>
    <row r="13" spans="1:2">
      <c r="A13" s="5">
        <v>50000</v>
      </c>
      <c r="B13" s="5">
        <v>0</v>
      </c>
    </row>
    <row r="14" spans="1:2">
      <c r="A14" s="5" t="s">
        <v>53</v>
      </c>
      <c r="B14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1436-08C0-48EE-8E14-D6EDD4C52F85}">
  <dimension ref="A1:A9"/>
  <sheetViews>
    <sheetView workbookViewId="0">
      <selection activeCell="H10" sqref="H10"/>
    </sheetView>
  </sheetViews>
  <sheetFormatPr defaultRowHeight="14.5"/>
  <sheetData>
    <row r="1" spans="1:1">
      <c r="A1" t="s">
        <v>55</v>
      </c>
    </row>
    <row r="2" spans="1:1">
      <c r="A2" t="s">
        <v>1</v>
      </c>
    </row>
    <row r="3" spans="1:1">
      <c r="A3" s="2" t="s">
        <v>54</v>
      </c>
    </row>
    <row r="4" spans="1:1">
      <c r="A4" t="s">
        <v>57</v>
      </c>
    </row>
    <row r="5" spans="1:1">
      <c r="A5" t="s">
        <v>58</v>
      </c>
    </row>
    <row r="6" spans="1:1">
      <c r="A6" s="2" t="s">
        <v>56</v>
      </c>
    </row>
    <row r="7" spans="1:1">
      <c r="A7" s="2" t="s">
        <v>59</v>
      </c>
    </row>
    <row r="8" spans="1:1">
      <c r="A8" s="2" t="s">
        <v>60</v>
      </c>
    </row>
    <row r="9" spans="1:1">
      <c r="A9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0C91-FD39-4DDA-8AA7-67E6D4F11C5B}">
  <dimension ref="A1:K38"/>
  <sheetViews>
    <sheetView workbookViewId="0">
      <selection activeCell="F1" sqref="F1:K9"/>
    </sheetView>
  </sheetViews>
  <sheetFormatPr defaultRowHeight="14.5"/>
  <cols>
    <col min="8" max="8" width="8.81640625" bestFit="1" customWidth="1"/>
    <col min="9" max="9" width="10.81640625" bestFit="1" customWidth="1"/>
    <col min="10" max="10" width="10.453125" bestFit="1" customWidth="1"/>
    <col min="11" max="11" width="12.36328125" bestFit="1" customWidth="1"/>
    <col min="12" max="12" width="6.81640625" bestFit="1" customWidth="1"/>
    <col min="13" max="13" width="6.26953125" bestFit="1" customWidth="1"/>
  </cols>
  <sheetData>
    <row r="1" spans="1:11">
      <c r="A1" t="s">
        <v>62</v>
      </c>
      <c r="F1" s="10" t="s">
        <v>93</v>
      </c>
      <c r="G1" s="10" t="s">
        <v>68</v>
      </c>
      <c r="H1" s="10" t="s">
        <v>69</v>
      </c>
      <c r="I1" s="10" t="s">
        <v>70</v>
      </c>
      <c r="J1" s="10" t="s">
        <v>51</v>
      </c>
      <c r="K1" s="10" t="s">
        <v>71</v>
      </c>
    </row>
    <row r="2" spans="1:11">
      <c r="A2" t="s">
        <v>63</v>
      </c>
      <c r="F2" s="9">
        <v>101</v>
      </c>
      <c r="G2" s="9" t="s">
        <v>72</v>
      </c>
      <c r="H2" s="9" t="s">
        <v>73</v>
      </c>
      <c r="I2" s="9">
        <v>12000</v>
      </c>
      <c r="J2" s="9">
        <v>65000</v>
      </c>
      <c r="K2" s="9" t="s">
        <v>74</v>
      </c>
    </row>
    <row r="3" spans="1:11">
      <c r="A3" t="s">
        <v>64</v>
      </c>
      <c r="F3" s="9">
        <v>102</v>
      </c>
      <c r="G3" s="9" t="s">
        <v>75</v>
      </c>
      <c r="H3" s="9" t="s">
        <v>76</v>
      </c>
      <c r="I3" s="9" t="s">
        <v>77</v>
      </c>
      <c r="J3" s="9" t="s">
        <v>77</v>
      </c>
      <c r="K3" s="9" t="s">
        <v>78</v>
      </c>
    </row>
    <row r="4" spans="1:11">
      <c r="A4" t="s">
        <v>65</v>
      </c>
      <c r="F4" s="9">
        <v>103</v>
      </c>
      <c r="G4" s="9" t="s">
        <v>79</v>
      </c>
      <c r="H4" s="9" t="s">
        <v>80</v>
      </c>
      <c r="I4" s="9">
        <v>15000</v>
      </c>
      <c r="J4" s="9">
        <v>72000</v>
      </c>
      <c r="K4" s="9" t="s">
        <v>78</v>
      </c>
    </row>
    <row r="5" spans="1:11">
      <c r="A5" t="s">
        <v>66</v>
      </c>
      <c r="F5" s="9">
        <v>104</v>
      </c>
      <c r="G5" s="9" t="s">
        <v>81</v>
      </c>
      <c r="H5" s="9" t="s">
        <v>82</v>
      </c>
      <c r="I5" s="9" t="s">
        <v>77</v>
      </c>
      <c r="J5" s="9" t="s">
        <v>77</v>
      </c>
      <c r="K5" s="9" t="s">
        <v>83</v>
      </c>
    </row>
    <row r="6" spans="1:11">
      <c r="A6" t="s">
        <v>67</v>
      </c>
      <c r="F6" s="9">
        <v>105</v>
      </c>
      <c r="G6" s="9" t="s">
        <v>84</v>
      </c>
      <c r="H6" s="9" t="s">
        <v>85</v>
      </c>
      <c r="I6" s="9">
        <v>18000</v>
      </c>
      <c r="J6" s="9">
        <v>58000</v>
      </c>
      <c r="K6" s="9" t="s">
        <v>77</v>
      </c>
    </row>
    <row r="7" spans="1:11">
      <c r="F7" s="9">
        <v>106</v>
      </c>
      <c r="G7" s="9" t="s">
        <v>86</v>
      </c>
      <c r="H7" s="9" t="s">
        <v>87</v>
      </c>
      <c r="I7" s="9" t="s">
        <v>77</v>
      </c>
      <c r="J7" s="9">
        <v>61000</v>
      </c>
      <c r="K7" s="9" t="s">
        <v>74</v>
      </c>
    </row>
    <row r="8" spans="1:11">
      <c r="F8" s="9">
        <v>107</v>
      </c>
      <c r="G8" s="9" t="s">
        <v>88</v>
      </c>
      <c r="H8" s="9" t="s">
        <v>89</v>
      </c>
      <c r="I8" s="9">
        <v>14000</v>
      </c>
      <c r="J8" s="9" t="s">
        <v>77</v>
      </c>
      <c r="K8" s="9" t="s">
        <v>90</v>
      </c>
    </row>
    <row r="9" spans="1:11">
      <c r="F9" s="9">
        <v>108</v>
      </c>
      <c r="G9" s="9" t="s">
        <v>91</v>
      </c>
      <c r="H9" s="9" t="s">
        <v>92</v>
      </c>
      <c r="I9" s="9">
        <v>16000</v>
      </c>
      <c r="J9" s="9">
        <v>69000</v>
      </c>
      <c r="K9" s="9" t="s">
        <v>83</v>
      </c>
    </row>
    <row r="11" spans="1:11">
      <c r="A11" t="s">
        <v>1</v>
      </c>
    </row>
    <row r="12" spans="1:11">
      <c r="A12" s="1" t="s">
        <v>63</v>
      </c>
    </row>
    <row r="13" spans="1:11">
      <c r="A13" s="10" t="s">
        <v>93</v>
      </c>
      <c r="B13" s="10" t="s">
        <v>68</v>
      </c>
      <c r="C13" s="10" t="s">
        <v>69</v>
      </c>
      <c r="D13" s="10" t="s">
        <v>70</v>
      </c>
      <c r="E13" s="10" t="s">
        <v>51</v>
      </c>
      <c r="F13" s="10" t="s">
        <v>71</v>
      </c>
    </row>
    <row r="14" spans="1:11">
      <c r="A14" s="9">
        <v>101</v>
      </c>
      <c r="B14" s="9" t="s">
        <v>72</v>
      </c>
      <c r="C14" s="9" t="s">
        <v>73</v>
      </c>
      <c r="D14" s="9">
        <v>12000</v>
      </c>
      <c r="E14" s="9">
        <v>65000</v>
      </c>
      <c r="F14" s="9" t="s">
        <v>74</v>
      </c>
    </row>
    <row r="15" spans="1:11">
      <c r="A15" s="9">
        <v>102</v>
      </c>
      <c r="B15" s="9" t="s">
        <v>75</v>
      </c>
      <c r="C15" s="9" t="s">
        <v>76</v>
      </c>
      <c r="D15" s="9" t="s">
        <v>77</v>
      </c>
      <c r="E15" s="9" t="s">
        <v>77</v>
      </c>
      <c r="F15" s="9" t="s">
        <v>78</v>
      </c>
    </row>
    <row r="16" spans="1:11">
      <c r="A16" s="9">
        <v>103</v>
      </c>
      <c r="B16" s="9" t="s">
        <v>79</v>
      </c>
      <c r="C16" s="9" t="s">
        <v>80</v>
      </c>
      <c r="D16" s="9">
        <v>15000</v>
      </c>
      <c r="E16" s="9">
        <v>72000</v>
      </c>
      <c r="F16" s="9" t="s">
        <v>78</v>
      </c>
    </row>
    <row r="17" spans="1:6">
      <c r="A17" s="9">
        <v>104</v>
      </c>
      <c r="B17" s="9" t="s">
        <v>81</v>
      </c>
      <c r="C17" s="9" t="s">
        <v>82</v>
      </c>
      <c r="D17" s="9" t="s">
        <v>77</v>
      </c>
      <c r="E17" s="9" t="s">
        <v>77</v>
      </c>
      <c r="F17" s="9" t="s">
        <v>83</v>
      </c>
    </row>
    <row r="18" spans="1:6">
      <c r="A18" s="9">
        <v>106</v>
      </c>
      <c r="B18" s="9" t="s">
        <v>86</v>
      </c>
      <c r="C18" s="9" t="s">
        <v>87</v>
      </c>
      <c r="D18" s="9" t="s">
        <v>77</v>
      </c>
      <c r="E18" s="9">
        <v>61000</v>
      </c>
      <c r="F18" s="9" t="s">
        <v>74</v>
      </c>
    </row>
    <row r="19" spans="1:6">
      <c r="A19" s="9">
        <v>107</v>
      </c>
      <c r="B19" s="9" t="s">
        <v>88</v>
      </c>
      <c r="C19" s="9" t="s">
        <v>89</v>
      </c>
      <c r="D19" s="9">
        <v>14000</v>
      </c>
      <c r="E19" s="9" t="s">
        <v>77</v>
      </c>
      <c r="F19" s="9" t="s">
        <v>90</v>
      </c>
    </row>
    <row r="20" spans="1:6">
      <c r="A20" s="9">
        <v>108</v>
      </c>
      <c r="B20" s="9" t="s">
        <v>91</v>
      </c>
      <c r="C20" s="9" t="s">
        <v>92</v>
      </c>
      <c r="D20" s="9">
        <v>16000</v>
      </c>
      <c r="E20" s="9">
        <v>69000</v>
      </c>
      <c r="F20" s="9" t="s">
        <v>83</v>
      </c>
    </row>
    <row r="22" spans="1:6">
      <c r="A22" s="1" t="s">
        <v>94</v>
      </c>
    </row>
    <row r="23" spans="1:6">
      <c r="A23" s="9">
        <v>105</v>
      </c>
      <c r="B23" s="9" t="s">
        <v>84</v>
      </c>
      <c r="C23" s="9" t="s">
        <v>85</v>
      </c>
      <c r="D23" s="9">
        <v>18000</v>
      </c>
      <c r="E23" s="9">
        <v>58000</v>
      </c>
      <c r="F23" s="9" t="s">
        <v>77</v>
      </c>
    </row>
    <row r="25" spans="1:6">
      <c r="A25" s="1" t="s">
        <v>95</v>
      </c>
    </row>
    <row r="26" spans="1:6">
      <c r="A26" s="10" t="s">
        <v>93</v>
      </c>
      <c r="B26" s="10" t="s">
        <v>68</v>
      </c>
      <c r="C26" s="10" t="s">
        <v>69</v>
      </c>
      <c r="D26" s="10" t="s">
        <v>70</v>
      </c>
      <c r="E26" s="10" t="s">
        <v>51</v>
      </c>
      <c r="F26" s="10" t="s">
        <v>71</v>
      </c>
    </row>
    <row r="27" spans="1:6">
      <c r="A27" s="9">
        <v>101</v>
      </c>
      <c r="B27" s="9" t="s">
        <v>72</v>
      </c>
      <c r="C27" s="9" t="s">
        <v>73</v>
      </c>
      <c r="D27" s="9">
        <v>12000</v>
      </c>
      <c r="E27" s="9">
        <v>65000</v>
      </c>
      <c r="F27" s="9" t="s">
        <v>74</v>
      </c>
    </row>
    <row r="28" spans="1:6">
      <c r="A28" s="9">
        <v>102</v>
      </c>
      <c r="B28" s="9" t="s">
        <v>75</v>
      </c>
      <c r="C28" s="9" t="s">
        <v>76</v>
      </c>
      <c r="D28" s="9" t="s">
        <v>77</v>
      </c>
      <c r="E28" s="9" t="s">
        <v>77</v>
      </c>
      <c r="F28" s="9" t="s">
        <v>78</v>
      </c>
    </row>
    <row r="29" spans="1:6">
      <c r="A29" s="9">
        <v>103</v>
      </c>
      <c r="B29" s="9" t="s">
        <v>79</v>
      </c>
      <c r="C29" s="9" t="s">
        <v>80</v>
      </c>
      <c r="D29" s="9">
        <v>15000</v>
      </c>
      <c r="E29" s="9">
        <v>72000</v>
      </c>
      <c r="F29" s="9" t="s">
        <v>78</v>
      </c>
    </row>
    <row r="30" spans="1:6">
      <c r="A30" s="9">
        <v>104</v>
      </c>
      <c r="B30" s="9" t="s">
        <v>81</v>
      </c>
      <c r="C30" s="9" t="s">
        <v>82</v>
      </c>
      <c r="D30" s="9" t="s">
        <v>77</v>
      </c>
      <c r="E30" s="9" t="s">
        <v>77</v>
      </c>
      <c r="F30" s="9" t="s">
        <v>83</v>
      </c>
    </row>
    <row r="31" spans="1:6">
      <c r="A31" s="9">
        <v>106</v>
      </c>
      <c r="B31" s="9" t="s">
        <v>86</v>
      </c>
      <c r="C31" s="9" t="s">
        <v>87</v>
      </c>
      <c r="D31" s="9" t="s">
        <v>77</v>
      </c>
      <c r="E31" s="9">
        <v>61000</v>
      </c>
      <c r="F31" s="9" t="s">
        <v>74</v>
      </c>
    </row>
    <row r="32" spans="1:6">
      <c r="A32" s="9">
        <v>107</v>
      </c>
      <c r="B32" s="9" t="s">
        <v>88</v>
      </c>
      <c r="C32" s="9" t="s">
        <v>89</v>
      </c>
      <c r="D32" s="9">
        <v>14000</v>
      </c>
      <c r="E32" s="9" t="s">
        <v>77</v>
      </c>
      <c r="F32" s="9" t="s">
        <v>90</v>
      </c>
    </row>
    <row r="33" spans="1:6">
      <c r="A33" s="9">
        <v>108</v>
      </c>
      <c r="B33" s="9" t="s">
        <v>91</v>
      </c>
      <c r="C33" s="9" t="s">
        <v>92</v>
      </c>
      <c r="D33" s="9">
        <v>16000</v>
      </c>
      <c r="E33" s="9">
        <v>69000</v>
      </c>
      <c r="F33" s="9" t="s">
        <v>83</v>
      </c>
    </row>
    <row r="35" spans="1:6">
      <c r="A35" s="1" t="s">
        <v>96</v>
      </c>
    </row>
    <row r="36" spans="1:6">
      <c r="A36" s="2" t="s">
        <v>97</v>
      </c>
    </row>
    <row r="37" spans="1:6">
      <c r="A37" s="2" t="s">
        <v>98</v>
      </c>
    </row>
    <row r="38" spans="1:6">
      <c r="A38" s="2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54ED-6962-452E-B601-79DB1F203CC1}">
  <dimension ref="A1:L40"/>
  <sheetViews>
    <sheetView workbookViewId="0">
      <selection activeCell="G1" sqref="G1:L9"/>
    </sheetView>
  </sheetViews>
  <sheetFormatPr defaultRowHeight="14.5"/>
  <sheetData>
    <row r="1" spans="1:12">
      <c r="A1" t="s">
        <v>100</v>
      </c>
      <c r="G1" s="10" t="s">
        <v>93</v>
      </c>
      <c r="H1" s="10" t="s">
        <v>68</v>
      </c>
      <c r="I1" s="10" t="s">
        <v>69</v>
      </c>
      <c r="J1" s="10" t="s">
        <v>70</v>
      </c>
      <c r="K1" s="10" t="s">
        <v>51</v>
      </c>
      <c r="L1" s="10" t="s">
        <v>71</v>
      </c>
    </row>
    <row r="2" spans="1:12">
      <c r="A2" t="s">
        <v>101</v>
      </c>
      <c r="G2" s="9">
        <v>101</v>
      </c>
      <c r="H2" s="9" t="s">
        <v>72</v>
      </c>
      <c r="I2" s="9" t="s">
        <v>73</v>
      </c>
      <c r="J2" s="9">
        <v>12000</v>
      </c>
      <c r="K2" s="9">
        <v>65000</v>
      </c>
      <c r="L2" s="9" t="s">
        <v>74</v>
      </c>
    </row>
    <row r="3" spans="1:12">
      <c r="A3" t="s">
        <v>102</v>
      </c>
      <c r="G3" s="9">
        <v>102</v>
      </c>
      <c r="H3" s="9" t="s">
        <v>75</v>
      </c>
      <c r="I3" s="9" t="s">
        <v>76</v>
      </c>
      <c r="J3" s="9" t="s">
        <v>77</v>
      </c>
      <c r="K3" s="9" t="s">
        <v>77</v>
      </c>
      <c r="L3" s="9" t="s">
        <v>78</v>
      </c>
    </row>
    <row r="4" spans="1:12">
      <c r="A4" t="s">
        <v>103</v>
      </c>
      <c r="G4" s="9">
        <v>103</v>
      </c>
      <c r="H4" s="9" t="s">
        <v>79</v>
      </c>
      <c r="I4" s="9" t="s">
        <v>80</v>
      </c>
      <c r="J4" s="9">
        <v>15000</v>
      </c>
      <c r="K4" s="9">
        <v>72000</v>
      </c>
      <c r="L4" s="9" t="s">
        <v>78</v>
      </c>
    </row>
    <row r="5" spans="1:12">
      <c r="A5" t="s">
        <v>104</v>
      </c>
      <c r="G5" s="9">
        <v>104</v>
      </c>
      <c r="H5" s="9" t="s">
        <v>81</v>
      </c>
      <c r="I5" s="9" t="s">
        <v>82</v>
      </c>
      <c r="J5" s="9" t="s">
        <v>77</v>
      </c>
      <c r="K5" s="9" t="s">
        <v>77</v>
      </c>
      <c r="L5" s="9" t="s">
        <v>83</v>
      </c>
    </row>
    <row r="6" spans="1:12">
      <c r="A6" t="s">
        <v>105</v>
      </c>
      <c r="G6" s="9">
        <v>105</v>
      </c>
      <c r="H6" s="9" t="s">
        <v>84</v>
      </c>
      <c r="I6" s="9" t="s">
        <v>85</v>
      </c>
      <c r="J6" s="9">
        <v>18000</v>
      </c>
      <c r="K6" s="9">
        <v>58000</v>
      </c>
      <c r="L6" s="9" t="s">
        <v>77</v>
      </c>
    </row>
    <row r="7" spans="1:12">
      <c r="A7" t="s">
        <v>106</v>
      </c>
      <c r="G7" s="9">
        <v>106</v>
      </c>
      <c r="H7" s="9" t="s">
        <v>86</v>
      </c>
      <c r="I7" s="9" t="s">
        <v>87</v>
      </c>
      <c r="J7" s="9" t="s">
        <v>77</v>
      </c>
      <c r="K7" s="9">
        <v>61000</v>
      </c>
      <c r="L7" s="9" t="s">
        <v>74</v>
      </c>
    </row>
    <row r="8" spans="1:12">
      <c r="G8" s="9">
        <v>107</v>
      </c>
      <c r="H8" s="9" t="s">
        <v>88</v>
      </c>
      <c r="I8" s="9" t="s">
        <v>89</v>
      </c>
      <c r="J8" s="9">
        <v>14000</v>
      </c>
      <c r="K8" s="9" t="s">
        <v>77</v>
      </c>
      <c r="L8" s="9" t="s">
        <v>90</v>
      </c>
    </row>
    <row r="9" spans="1:12">
      <c r="G9" s="9">
        <v>108</v>
      </c>
      <c r="H9" s="9" t="s">
        <v>91</v>
      </c>
      <c r="I9" s="9" t="s">
        <v>92</v>
      </c>
      <c r="J9" s="9">
        <v>16000</v>
      </c>
      <c r="K9" s="9">
        <v>69000</v>
      </c>
      <c r="L9" s="9" t="s">
        <v>83</v>
      </c>
    </row>
    <row r="11" spans="1:12">
      <c r="A11" t="s">
        <v>1</v>
      </c>
    </row>
    <row r="12" spans="1:12">
      <c r="A12" s="1" t="s">
        <v>108</v>
      </c>
    </row>
    <row r="13" spans="1:12">
      <c r="A13" s="2" t="s">
        <v>107</v>
      </c>
    </row>
    <row r="14" spans="1:12">
      <c r="A14" s="10" t="s">
        <v>93</v>
      </c>
      <c r="B14" s="10" t="s">
        <v>68</v>
      </c>
      <c r="C14" s="10" t="s">
        <v>69</v>
      </c>
      <c r="D14" s="10" t="s">
        <v>70</v>
      </c>
      <c r="E14" s="10" t="s">
        <v>51</v>
      </c>
      <c r="F14" s="10" t="s">
        <v>71</v>
      </c>
    </row>
    <row r="15" spans="1:12">
      <c r="A15" s="9">
        <v>101</v>
      </c>
      <c r="B15" s="9" t="s">
        <v>72</v>
      </c>
      <c r="C15" s="9" t="s">
        <v>73</v>
      </c>
      <c r="D15" s="9">
        <v>12000</v>
      </c>
      <c r="E15" s="9">
        <v>65000</v>
      </c>
      <c r="F15" s="9" t="s">
        <v>74</v>
      </c>
    </row>
    <row r="16" spans="1:12">
      <c r="A16" s="9">
        <v>102</v>
      </c>
      <c r="B16" s="9" t="s">
        <v>75</v>
      </c>
      <c r="C16" s="9" t="s">
        <v>76</v>
      </c>
      <c r="D16" s="9">
        <v>12000</v>
      </c>
      <c r="E16" s="9" t="s">
        <v>77</v>
      </c>
      <c r="F16" s="9" t="s">
        <v>78</v>
      </c>
    </row>
    <row r="17" spans="1:7">
      <c r="A17" s="9">
        <v>103</v>
      </c>
      <c r="B17" s="9" t="s">
        <v>79</v>
      </c>
      <c r="C17" s="9" t="s">
        <v>80</v>
      </c>
      <c r="D17" s="9">
        <v>15000</v>
      </c>
      <c r="E17" s="9">
        <v>72000</v>
      </c>
      <c r="F17" s="9" t="s">
        <v>78</v>
      </c>
    </row>
    <row r="18" spans="1:7">
      <c r="A18" s="9">
        <v>104</v>
      </c>
      <c r="B18" s="9" t="s">
        <v>81</v>
      </c>
      <c r="C18" s="9" t="s">
        <v>82</v>
      </c>
      <c r="D18" s="9">
        <v>15000</v>
      </c>
      <c r="E18" s="9" t="s">
        <v>77</v>
      </c>
      <c r="F18" s="9" t="s">
        <v>83</v>
      </c>
    </row>
    <row r="19" spans="1:7">
      <c r="A19" s="9">
        <v>105</v>
      </c>
      <c r="B19" s="9" t="s">
        <v>84</v>
      </c>
      <c r="C19" s="9" t="s">
        <v>85</v>
      </c>
      <c r="D19" s="9">
        <v>18000</v>
      </c>
      <c r="E19" s="9">
        <v>58000</v>
      </c>
      <c r="F19" s="9" t="s">
        <v>77</v>
      </c>
    </row>
    <row r="20" spans="1:7">
      <c r="A20" s="9">
        <v>106</v>
      </c>
      <c r="B20" s="9" t="s">
        <v>86</v>
      </c>
      <c r="C20" s="9" t="s">
        <v>87</v>
      </c>
      <c r="D20" s="9">
        <v>18000</v>
      </c>
      <c r="E20" s="9">
        <v>61000</v>
      </c>
      <c r="F20" s="9" t="s">
        <v>74</v>
      </c>
    </row>
    <row r="21" spans="1:7">
      <c r="A21" s="9">
        <v>107</v>
      </c>
      <c r="B21" s="9" t="s">
        <v>88</v>
      </c>
      <c r="C21" s="9" t="s">
        <v>89</v>
      </c>
      <c r="D21" s="9">
        <v>14000</v>
      </c>
      <c r="E21" s="9" t="s">
        <v>77</v>
      </c>
      <c r="F21" s="9" t="s">
        <v>90</v>
      </c>
    </row>
    <row r="22" spans="1:7">
      <c r="A22" s="9">
        <v>108</v>
      </c>
      <c r="B22" s="9" t="s">
        <v>91</v>
      </c>
      <c r="C22" s="9" t="s">
        <v>92</v>
      </c>
      <c r="D22" s="9">
        <v>16000</v>
      </c>
      <c r="E22" s="9">
        <v>69000</v>
      </c>
      <c r="F22" s="9" t="s">
        <v>83</v>
      </c>
    </row>
    <row r="25" spans="1:7">
      <c r="A25" s="1" t="s">
        <v>109</v>
      </c>
    </row>
    <row r="26" spans="1:7">
      <c r="A26" s="10" t="s">
        <v>93</v>
      </c>
      <c r="B26" s="10" t="s">
        <v>68</v>
      </c>
      <c r="C26" s="10" t="s">
        <v>69</v>
      </c>
      <c r="D26" s="11" t="s">
        <v>110</v>
      </c>
      <c r="E26" s="10" t="s">
        <v>111</v>
      </c>
      <c r="F26" s="10" t="s">
        <v>51</v>
      </c>
      <c r="G26" s="10" t="s">
        <v>71</v>
      </c>
    </row>
    <row r="27" spans="1:7">
      <c r="A27" s="9">
        <v>101</v>
      </c>
      <c r="B27" s="9" t="s">
        <v>72</v>
      </c>
      <c r="C27" s="9" t="s">
        <v>73</v>
      </c>
      <c r="D27" s="9">
        <v>12000</v>
      </c>
      <c r="E27" s="9">
        <v>12000</v>
      </c>
      <c r="F27" s="9">
        <v>65000</v>
      </c>
      <c r="G27" s="9" t="s">
        <v>74</v>
      </c>
    </row>
    <row r="28" spans="1:7">
      <c r="A28" s="9">
        <v>102</v>
      </c>
      <c r="B28" s="9" t="s">
        <v>75</v>
      </c>
      <c r="C28" s="9" t="s">
        <v>76</v>
      </c>
      <c r="D28" s="9" t="s">
        <v>77</v>
      </c>
      <c r="E28" s="9">
        <v>12000</v>
      </c>
      <c r="F28" s="9" t="s">
        <v>77</v>
      </c>
      <c r="G28" s="9" t="s">
        <v>78</v>
      </c>
    </row>
    <row r="29" spans="1:7">
      <c r="A29" s="9">
        <v>103</v>
      </c>
      <c r="B29" s="9" t="s">
        <v>79</v>
      </c>
      <c r="C29" s="9" t="s">
        <v>80</v>
      </c>
      <c r="D29" s="9">
        <v>15000</v>
      </c>
      <c r="E29" s="9">
        <v>15000</v>
      </c>
      <c r="F29" s="9">
        <v>72000</v>
      </c>
      <c r="G29" s="9" t="s">
        <v>78</v>
      </c>
    </row>
    <row r="30" spans="1:7">
      <c r="A30" s="9">
        <v>104</v>
      </c>
      <c r="B30" s="9" t="s">
        <v>81</v>
      </c>
      <c r="C30" s="9" t="s">
        <v>82</v>
      </c>
      <c r="D30" s="9" t="s">
        <v>77</v>
      </c>
      <c r="E30" s="9">
        <v>15000</v>
      </c>
      <c r="F30" s="9" t="s">
        <v>77</v>
      </c>
      <c r="G30" s="9" t="s">
        <v>83</v>
      </c>
    </row>
    <row r="31" spans="1:7">
      <c r="A31" s="9">
        <v>105</v>
      </c>
      <c r="B31" s="9" t="s">
        <v>84</v>
      </c>
      <c r="C31" s="9" t="s">
        <v>85</v>
      </c>
      <c r="D31" s="9">
        <v>18000</v>
      </c>
      <c r="E31" s="9">
        <v>18000</v>
      </c>
      <c r="F31" s="9">
        <v>58000</v>
      </c>
      <c r="G31" s="9" t="s">
        <v>77</v>
      </c>
    </row>
    <row r="32" spans="1:7">
      <c r="A32" s="9">
        <v>106</v>
      </c>
      <c r="B32" s="9" t="s">
        <v>86</v>
      </c>
      <c r="C32" s="9" t="s">
        <v>87</v>
      </c>
      <c r="D32" s="9" t="s">
        <v>77</v>
      </c>
      <c r="E32" s="9">
        <v>18000</v>
      </c>
      <c r="F32" s="9">
        <v>61000</v>
      </c>
      <c r="G32" s="9" t="s">
        <v>74</v>
      </c>
    </row>
    <row r="33" spans="1:7">
      <c r="A33" s="9">
        <v>107</v>
      </c>
      <c r="B33" s="9" t="s">
        <v>88</v>
      </c>
      <c r="C33" s="9" t="s">
        <v>89</v>
      </c>
      <c r="D33" s="9">
        <v>14000</v>
      </c>
      <c r="E33" s="9">
        <v>14000</v>
      </c>
      <c r="F33" s="9" t="s">
        <v>77</v>
      </c>
      <c r="G33" s="9" t="s">
        <v>90</v>
      </c>
    </row>
    <row r="34" spans="1:7">
      <c r="A34" s="9">
        <v>108</v>
      </c>
      <c r="B34" s="9" t="s">
        <v>91</v>
      </c>
      <c r="C34" s="9" t="s">
        <v>92</v>
      </c>
      <c r="D34" s="9">
        <v>16000</v>
      </c>
      <c r="E34" s="9">
        <v>16000</v>
      </c>
      <c r="F34" s="9">
        <v>69000</v>
      </c>
      <c r="G34" s="9" t="s">
        <v>83</v>
      </c>
    </row>
    <row r="36" spans="1:7">
      <c r="A36" s="1" t="s">
        <v>112</v>
      </c>
    </row>
    <row r="37" spans="1:7">
      <c r="A37" s="2" t="s">
        <v>113</v>
      </c>
    </row>
    <row r="38" spans="1:7">
      <c r="A38" s="2" t="s">
        <v>114</v>
      </c>
    </row>
    <row r="39" spans="1:7">
      <c r="A39" s="2" t="s">
        <v>115</v>
      </c>
    </row>
    <row r="40" spans="1:7">
      <c r="A40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D26A-8E09-4356-882A-00D119B3A957}">
  <dimension ref="A1:P28"/>
  <sheetViews>
    <sheetView workbookViewId="0">
      <selection activeCell="O6" sqref="O6"/>
    </sheetView>
  </sheetViews>
  <sheetFormatPr defaultRowHeight="14.5"/>
  <sheetData>
    <row r="1" spans="1:12">
      <c r="A1" t="s">
        <v>117</v>
      </c>
      <c r="G1" s="10" t="s">
        <v>93</v>
      </c>
      <c r="H1" s="10" t="s">
        <v>68</v>
      </c>
      <c r="I1" s="10" t="s">
        <v>69</v>
      </c>
      <c r="J1" s="10" t="s">
        <v>70</v>
      </c>
      <c r="K1" s="10" t="s">
        <v>51</v>
      </c>
      <c r="L1" s="10" t="s">
        <v>71</v>
      </c>
    </row>
    <row r="2" spans="1:12">
      <c r="A2" t="s">
        <v>118</v>
      </c>
      <c r="G2" s="9">
        <v>101</v>
      </c>
      <c r="H2" s="9" t="s">
        <v>72</v>
      </c>
      <c r="I2" s="9" t="s">
        <v>73</v>
      </c>
      <c r="J2" s="9">
        <v>12000</v>
      </c>
      <c r="K2" s="9">
        <v>65000</v>
      </c>
      <c r="L2" s="9" t="s">
        <v>74</v>
      </c>
    </row>
    <row r="3" spans="1:12">
      <c r="A3" t="s">
        <v>64</v>
      </c>
      <c r="G3" s="9">
        <v>102</v>
      </c>
      <c r="H3" s="9" t="s">
        <v>75</v>
      </c>
      <c r="I3" s="9" t="s">
        <v>76</v>
      </c>
      <c r="J3" s="9" t="s">
        <v>77</v>
      </c>
      <c r="K3" s="9" t="s">
        <v>77</v>
      </c>
      <c r="L3" s="9" t="s">
        <v>78</v>
      </c>
    </row>
    <row r="4" spans="1:12">
      <c r="A4" t="s">
        <v>119</v>
      </c>
      <c r="G4" s="9">
        <v>103</v>
      </c>
      <c r="H4" s="9" t="s">
        <v>79</v>
      </c>
      <c r="I4" s="9" t="s">
        <v>80</v>
      </c>
      <c r="J4" s="9">
        <v>15000</v>
      </c>
      <c r="K4" s="9">
        <v>72000</v>
      </c>
      <c r="L4" s="9" t="s">
        <v>78</v>
      </c>
    </row>
    <row r="5" spans="1:12">
      <c r="A5" t="s">
        <v>120</v>
      </c>
      <c r="G5" s="9">
        <v>104</v>
      </c>
      <c r="H5" s="9" t="s">
        <v>81</v>
      </c>
      <c r="I5" s="9" t="s">
        <v>82</v>
      </c>
      <c r="J5" s="9" t="s">
        <v>77</v>
      </c>
      <c r="K5" s="9" t="s">
        <v>77</v>
      </c>
      <c r="L5" s="9" t="s">
        <v>83</v>
      </c>
    </row>
    <row r="6" spans="1:12">
      <c r="A6" t="s">
        <v>121</v>
      </c>
      <c r="G6" s="9">
        <v>105</v>
      </c>
      <c r="H6" s="9" t="s">
        <v>84</v>
      </c>
      <c r="I6" s="9" t="s">
        <v>85</v>
      </c>
      <c r="J6" s="9">
        <v>18000</v>
      </c>
      <c r="K6" s="9">
        <v>58000</v>
      </c>
      <c r="L6" s="9" t="s">
        <v>77</v>
      </c>
    </row>
    <row r="7" spans="1:12">
      <c r="G7" s="9">
        <v>106</v>
      </c>
      <c r="H7" s="9" t="s">
        <v>86</v>
      </c>
      <c r="I7" s="9" t="s">
        <v>87</v>
      </c>
      <c r="J7" s="9" t="s">
        <v>77</v>
      </c>
      <c r="K7" s="9">
        <v>61000</v>
      </c>
      <c r="L7" s="9" t="s">
        <v>74</v>
      </c>
    </row>
    <row r="8" spans="1:12">
      <c r="G8" s="9">
        <v>107</v>
      </c>
      <c r="H8" s="9" t="s">
        <v>88</v>
      </c>
      <c r="I8" s="9" t="s">
        <v>89</v>
      </c>
      <c r="J8" s="9">
        <v>14000</v>
      </c>
      <c r="K8" s="9" t="s">
        <v>77</v>
      </c>
      <c r="L8" s="9" t="s">
        <v>90</v>
      </c>
    </row>
    <row r="9" spans="1:12">
      <c r="G9" s="9">
        <v>108</v>
      </c>
      <c r="H9" s="9" t="s">
        <v>91</v>
      </c>
      <c r="I9" s="9" t="s">
        <v>92</v>
      </c>
      <c r="J9" s="9">
        <v>16000</v>
      </c>
      <c r="K9" s="9">
        <v>69000</v>
      </c>
      <c r="L9" s="9" t="s">
        <v>83</v>
      </c>
    </row>
    <row r="10" spans="1:12">
      <c r="A10" t="s">
        <v>1</v>
      </c>
    </row>
    <row r="11" spans="1:12">
      <c r="A11" s="1" t="s">
        <v>122</v>
      </c>
    </row>
    <row r="12" spans="1:12">
      <c r="A12" t="s">
        <v>123</v>
      </c>
    </row>
    <row r="13" spans="1:12">
      <c r="A13" t="s">
        <v>124</v>
      </c>
    </row>
    <row r="15" spans="1:12">
      <c r="A15" s="1" t="s">
        <v>125</v>
      </c>
    </row>
    <row r="16" spans="1:12">
      <c r="A16" s="1" t="s">
        <v>128</v>
      </c>
      <c r="J16" s="1" t="s">
        <v>127</v>
      </c>
    </row>
    <row r="17" spans="1:16">
      <c r="A17" s="10" t="s">
        <v>93</v>
      </c>
      <c r="B17" s="10" t="s">
        <v>68</v>
      </c>
      <c r="C17" s="10" t="s">
        <v>69</v>
      </c>
      <c r="D17" s="10" t="s">
        <v>70</v>
      </c>
      <c r="E17" s="10" t="s">
        <v>51</v>
      </c>
      <c r="F17" s="10" t="s">
        <v>71</v>
      </c>
      <c r="G17" s="11" t="s">
        <v>126</v>
      </c>
      <c r="J17" s="10" t="s">
        <v>93</v>
      </c>
      <c r="K17" s="10" t="s">
        <v>68</v>
      </c>
      <c r="L17" s="10" t="s">
        <v>69</v>
      </c>
      <c r="M17" s="10" t="s">
        <v>70</v>
      </c>
      <c r="N17" s="10" t="s">
        <v>51</v>
      </c>
      <c r="O17" s="10" t="s">
        <v>71</v>
      </c>
      <c r="P17" s="11" t="s">
        <v>126</v>
      </c>
    </row>
    <row r="18" spans="1:16">
      <c r="A18" s="9">
        <v>101</v>
      </c>
      <c r="B18" s="9" t="s">
        <v>72</v>
      </c>
      <c r="C18" s="9" t="s">
        <v>73</v>
      </c>
      <c r="D18" s="9">
        <v>12000</v>
      </c>
      <c r="E18" s="9">
        <v>65000</v>
      </c>
      <c r="F18" s="9" t="s">
        <v>74</v>
      </c>
      <c r="G18" s="12">
        <v>0</v>
      </c>
      <c r="J18" s="9">
        <v>101</v>
      </c>
      <c r="K18" s="9" t="s">
        <v>72</v>
      </c>
      <c r="L18" s="9" t="s">
        <v>73</v>
      </c>
      <c r="M18" s="9">
        <v>12000</v>
      </c>
      <c r="N18" s="9">
        <v>65000</v>
      </c>
      <c r="O18" s="9" t="s">
        <v>74</v>
      </c>
      <c r="P18" s="13">
        <f>IF(ISBLANK($M18),1,0)</f>
        <v>0</v>
      </c>
    </row>
    <row r="19" spans="1:16">
      <c r="A19" s="9">
        <v>102</v>
      </c>
      <c r="B19" s="9" t="s">
        <v>75</v>
      </c>
      <c r="C19" s="9" t="s">
        <v>76</v>
      </c>
      <c r="D19" s="9" t="s">
        <v>77</v>
      </c>
      <c r="E19" s="9" t="s">
        <v>77</v>
      </c>
      <c r="F19" s="9" t="s">
        <v>78</v>
      </c>
      <c r="G19" s="12">
        <v>1</v>
      </c>
      <c r="J19" s="9">
        <v>102</v>
      </c>
      <c r="K19" s="9" t="s">
        <v>75</v>
      </c>
      <c r="L19" s="9" t="s">
        <v>76</v>
      </c>
      <c r="M19" s="9"/>
      <c r="N19" s="9" t="s">
        <v>77</v>
      </c>
      <c r="O19" s="9" t="s">
        <v>78</v>
      </c>
      <c r="P19" s="13">
        <f t="shared" ref="P19:P25" si="0">IF(ISBLANK($M19),1,0)</f>
        <v>1</v>
      </c>
    </row>
    <row r="20" spans="1:16">
      <c r="A20" s="9">
        <v>103</v>
      </c>
      <c r="B20" s="9" t="s">
        <v>79</v>
      </c>
      <c r="C20" s="9" t="s">
        <v>80</v>
      </c>
      <c r="D20" s="9">
        <v>15000</v>
      </c>
      <c r="E20" s="9">
        <v>72000</v>
      </c>
      <c r="F20" s="9" t="s">
        <v>78</v>
      </c>
      <c r="G20" s="12">
        <v>0</v>
      </c>
      <c r="J20" s="9">
        <v>103</v>
      </c>
      <c r="K20" s="9" t="s">
        <v>79</v>
      </c>
      <c r="L20" s="9" t="s">
        <v>80</v>
      </c>
      <c r="M20" s="9">
        <v>15000</v>
      </c>
      <c r="N20" s="9">
        <v>72000</v>
      </c>
      <c r="O20" s="9" t="s">
        <v>78</v>
      </c>
      <c r="P20" s="13">
        <f t="shared" si="0"/>
        <v>0</v>
      </c>
    </row>
    <row r="21" spans="1:16">
      <c r="A21" s="9">
        <v>104</v>
      </c>
      <c r="B21" s="9" t="s">
        <v>81</v>
      </c>
      <c r="C21" s="9" t="s">
        <v>82</v>
      </c>
      <c r="D21" s="9" t="s">
        <v>77</v>
      </c>
      <c r="E21" s="9" t="s">
        <v>77</v>
      </c>
      <c r="F21" s="9" t="s">
        <v>83</v>
      </c>
      <c r="G21" s="12">
        <v>1</v>
      </c>
      <c r="J21" s="9">
        <v>104</v>
      </c>
      <c r="K21" s="9" t="s">
        <v>81</v>
      </c>
      <c r="L21" s="9" t="s">
        <v>82</v>
      </c>
      <c r="M21" s="9"/>
      <c r="N21" s="9" t="s">
        <v>77</v>
      </c>
      <c r="O21" s="9" t="s">
        <v>83</v>
      </c>
      <c r="P21" s="13">
        <f t="shared" si="0"/>
        <v>1</v>
      </c>
    </row>
    <row r="22" spans="1:16">
      <c r="A22" s="9">
        <v>105</v>
      </c>
      <c r="B22" s="9" t="s">
        <v>84</v>
      </c>
      <c r="C22" s="9" t="s">
        <v>85</v>
      </c>
      <c r="D22" s="9">
        <v>18000</v>
      </c>
      <c r="E22" s="9">
        <v>58000</v>
      </c>
      <c r="F22" s="9" t="s">
        <v>77</v>
      </c>
      <c r="G22" s="12">
        <v>0</v>
      </c>
      <c r="J22" s="9">
        <v>105</v>
      </c>
      <c r="K22" s="9" t="s">
        <v>84</v>
      </c>
      <c r="L22" s="9" t="s">
        <v>85</v>
      </c>
      <c r="M22" s="9">
        <v>18000</v>
      </c>
      <c r="N22" s="9">
        <v>58000</v>
      </c>
      <c r="O22" s="9" t="s">
        <v>77</v>
      </c>
      <c r="P22" s="13">
        <f t="shared" si="0"/>
        <v>0</v>
      </c>
    </row>
    <row r="23" spans="1:16">
      <c r="A23" s="9">
        <v>106</v>
      </c>
      <c r="B23" s="9" t="s">
        <v>86</v>
      </c>
      <c r="C23" s="9" t="s">
        <v>87</v>
      </c>
      <c r="D23" s="9" t="s">
        <v>77</v>
      </c>
      <c r="E23" s="9">
        <v>61000</v>
      </c>
      <c r="F23" s="9" t="s">
        <v>74</v>
      </c>
      <c r="G23" s="12">
        <v>0</v>
      </c>
      <c r="J23" s="9">
        <v>106</v>
      </c>
      <c r="K23" s="9" t="s">
        <v>86</v>
      </c>
      <c r="L23" s="9" t="s">
        <v>87</v>
      </c>
      <c r="M23" s="9"/>
      <c r="N23" s="9">
        <v>61000</v>
      </c>
      <c r="O23" s="9" t="s">
        <v>74</v>
      </c>
      <c r="P23" s="13">
        <f t="shared" si="0"/>
        <v>1</v>
      </c>
    </row>
    <row r="24" spans="1:16">
      <c r="A24" s="9">
        <v>107</v>
      </c>
      <c r="B24" s="9" t="s">
        <v>88</v>
      </c>
      <c r="C24" s="9" t="s">
        <v>89</v>
      </c>
      <c r="D24" s="9">
        <v>14000</v>
      </c>
      <c r="E24" s="9" t="s">
        <v>77</v>
      </c>
      <c r="F24" s="9" t="s">
        <v>90</v>
      </c>
      <c r="G24" s="12">
        <v>1</v>
      </c>
      <c r="J24" s="9">
        <v>107</v>
      </c>
      <c r="K24" s="9" t="s">
        <v>88</v>
      </c>
      <c r="L24" s="9" t="s">
        <v>89</v>
      </c>
      <c r="M24" s="9"/>
      <c r="N24" s="9" t="s">
        <v>77</v>
      </c>
      <c r="O24" s="9" t="s">
        <v>90</v>
      </c>
      <c r="P24" s="13">
        <f t="shared" si="0"/>
        <v>1</v>
      </c>
    </row>
    <row r="25" spans="1:16">
      <c r="A25" s="9">
        <v>108</v>
      </c>
      <c r="B25" s="9" t="s">
        <v>91</v>
      </c>
      <c r="C25" s="9" t="s">
        <v>92</v>
      </c>
      <c r="D25" s="9">
        <v>16000</v>
      </c>
      <c r="E25" s="9">
        <v>69000</v>
      </c>
      <c r="F25" s="9" t="s">
        <v>83</v>
      </c>
      <c r="G25" s="12">
        <v>0</v>
      </c>
      <c r="J25" s="9">
        <v>108</v>
      </c>
      <c r="K25" s="9" t="s">
        <v>91</v>
      </c>
      <c r="L25" s="9" t="s">
        <v>92</v>
      </c>
      <c r="M25" s="9">
        <v>16000</v>
      </c>
      <c r="N25" s="9">
        <v>69000</v>
      </c>
      <c r="O25" s="9" t="s">
        <v>83</v>
      </c>
      <c r="P25" s="13">
        <f t="shared" si="0"/>
        <v>0</v>
      </c>
    </row>
    <row r="27" spans="1:16">
      <c r="A27" s="1" t="s">
        <v>129</v>
      </c>
    </row>
    <row r="28" spans="1:16">
      <c r="A28" s="1" t="s">
        <v>130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1e34cb8-3a56-4fd5-a259-4acadab6e4ac}" enabled="0" method="" siteId="{71e34cb8-3a56-4fd5-a259-4acadab6e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>Bristol Myers Squibb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Sanap, Hrushikesh</dc:creator>
  <cp:lastModifiedBy>Sanap, Hrushikesh</cp:lastModifiedBy>
  <dcterms:created xsi:type="dcterms:W3CDTF">2026-02-17T09:09:03Z</dcterms:created>
  <dcterms:modified xsi:type="dcterms:W3CDTF">2026-02-17T10:08:27Z</dcterms:modified>
</cp:coreProperties>
</file>